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iese\OneDrive\Dokumente\Schule\Diplomarbeit\Diplomarbeit_Tischkicker\Diplomarbeit\doc\Schaar\"/>
    </mc:Choice>
  </mc:AlternateContent>
  <xr:revisionPtr revIDLastSave="0" documentId="13_ncr:1_{46BA01CE-529C-4D61-BA5A-FCEF19F75FF5}" xr6:coauthVersionLast="47" xr6:coauthVersionMax="47" xr10:uidLastSave="{00000000-0000-0000-0000-000000000000}"/>
  <bookViews>
    <workbookView xWindow="-120" yWindow="-120" windowWidth="25440" windowHeight="15270" activeTab="1" xr2:uid="{6E91DB90-8AB8-47FA-9925-F6AA49AB0963}"/>
  </bookViews>
  <sheets>
    <sheet name="Diagramm - Punkteverteilung MCs" sheetId="1" r:id="rId1"/>
    <sheet name="Diagramm - Vergleich MC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2" l="1"/>
  <c r="D7" i="2" s="1"/>
  <c r="C3" i="2"/>
  <c r="C7" i="2"/>
  <c r="B3" i="2"/>
  <c r="B7" i="2" s="1"/>
  <c r="G6" i="2"/>
  <c r="G12" i="2"/>
  <c r="G18" i="2"/>
  <c r="B7" i="1"/>
</calcChain>
</file>

<file path=xl/sharedStrings.xml><?xml version="1.0" encoding="utf-8"?>
<sst xmlns="http://schemas.openxmlformats.org/spreadsheetml/2006/main" count="37" uniqueCount="26">
  <si>
    <t>Vergleichsbasis</t>
  </si>
  <si>
    <t>Anteil an Gesamtpunktzahl in % (gerundet)</t>
  </si>
  <si>
    <t>Kosten</t>
  </si>
  <si>
    <t>Prozessorleistung</t>
  </si>
  <si>
    <t>Punkteverteilung - Mikrocontroller</t>
  </si>
  <si>
    <t>Datenübertragung</t>
  </si>
  <si>
    <t>Stromverbrauch</t>
  </si>
  <si>
    <t>Gesamt</t>
  </si>
  <si>
    <t>Punktekategorie</t>
  </si>
  <si>
    <t>Punktevergabe - Mikrocontroller</t>
  </si>
  <si>
    <t>Arduino Nano ESP32</t>
  </si>
  <si>
    <t>ESP32 DevKit C</t>
  </si>
  <si>
    <t>Raspberry Pi Pico 2W</t>
  </si>
  <si>
    <t>Preis (in €)</t>
  </si>
  <si>
    <t>https://store.arduino.cc/collections/nano-family/products/nano-esp32-with-headers</t>
  </si>
  <si>
    <t>https://www.mouser.at/ProductDetail/Arduino/ABX00083?qs=ulEaXIWI0c8OkA6u7pnNRA%3D%3D</t>
  </si>
  <si>
    <t>Durchschnittlicher Preis</t>
  </si>
  <si>
    <t>https://www.reichelt.at/at/de/shop/produkt/arduino_nano_esp32_mit_header_esp32-s3_usb-c-353087</t>
  </si>
  <si>
    <t>Händler-Links (mit Kosten/1 St. exkl. Versand) für jeden Mikrocontroller (Stand 18.02.2026)</t>
  </si>
  <si>
    <t>https://shop4akku.de/esp32-devkit-v4/</t>
  </si>
  <si>
    <t>https://www.az-delivery.de/products/esp-32-dev-kit-c-v4</t>
  </si>
  <si>
    <t>https://shop.heise.de/esp-32-dev-kit-c-v4</t>
  </si>
  <si>
    <t>https://www.welectron.com/Raspberry-Pi-Pico-2-W?src=raspberrypi</t>
  </si>
  <si>
    <t>https://www.berrybase.at/raspberry-pi-pico-2w-rp2350-wlan-bluetooth-mikrocontroller-board</t>
  </si>
  <si>
    <t>https://www.reichelt.at/at/de/shop/produkt/raspberry_pi_pico_2_wh_rp235x_cortex-m33_wifi_microusb-398576</t>
  </si>
  <si>
    <t>Gesamtpunktzahl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</si>
</sst>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€&quot;\ * #,##0.00_-;\-&quot;€&quot;\ * #,##0.00_-;_-&quot;€&quot;\ * &quot;-&quot;??_-;_-@_-"/>
  </numFmts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0.499984740745262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3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39">
    <xf numFmtId="0" fontId="0" fillId="0" borderId="0" xfId="0"/>
    <xf numFmtId="0" fontId="0" fillId="0" borderId="1" xfId="0" applyBorder="1"/>
    <xf numFmtId="0" fontId="0" fillId="0" borderId="3" xfId="0" applyBorder="1"/>
    <xf numFmtId="0" fontId="1" fillId="2" borderId="5" xfId="0" applyFont="1" applyFill="1" applyBorder="1"/>
    <xf numFmtId="0" fontId="1" fillId="3" borderId="2" xfId="0" applyFont="1" applyFill="1" applyBorder="1"/>
    <xf numFmtId="9" fontId="0" fillId="0" borderId="3" xfId="0" applyNumberFormat="1" applyBorder="1"/>
    <xf numFmtId="0" fontId="0" fillId="0" borderId="6" xfId="0" applyBorder="1"/>
    <xf numFmtId="9" fontId="0" fillId="0" borderId="7" xfId="0" applyNumberFormat="1" applyBorder="1"/>
    <xf numFmtId="0" fontId="1" fillId="5" borderId="5" xfId="0" applyFont="1" applyFill="1" applyBorder="1"/>
    <xf numFmtId="9" fontId="1" fillId="5" borderId="4" xfId="0" applyNumberFormat="1" applyFont="1" applyFill="1" applyBorder="1"/>
    <xf numFmtId="0" fontId="2" fillId="4" borderId="5" xfId="0" applyFont="1" applyFill="1" applyBorder="1" applyAlignment="1">
      <alignment horizontal="center"/>
    </xf>
    <xf numFmtId="0" fontId="2" fillId="4" borderId="4" xfId="0" applyFont="1" applyFill="1" applyBorder="1" applyAlignment="1">
      <alignment horizontal="center"/>
    </xf>
    <xf numFmtId="0" fontId="2" fillId="6" borderId="5" xfId="0" applyFont="1" applyFill="1" applyBorder="1" applyAlignment="1">
      <alignment horizontal="center"/>
    </xf>
    <xf numFmtId="0" fontId="2" fillId="6" borderId="4" xfId="0" applyFont="1" applyFill="1" applyBorder="1" applyAlignment="1">
      <alignment horizontal="center"/>
    </xf>
    <xf numFmtId="0" fontId="1" fillId="2" borderId="10" xfId="0" applyFont="1" applyFill="1" applyBorder="1"/>
    <xf numFmtId="0" fontId="1" fillId="3" borderId="11" xfId="0" applyFont="1" applyFill="1" applyBorder="1"/>
    <xf numFmtId="0" fontId="2" fillId="4" borderId="9" xfId="0" applyFont="1" applyFill="1" applyBorder="1" applyAlignment="1">
      <alignment horizontal="center"/>
    </xf>
    <xf numFmtId="0" fontId="1" fillId="7" borderId="4" xfId="0" applyFont="1" applyFill="1" applyBorder="1"/>
    <xf numFmtId="0" fontId="1" fillId="8" borderId="4" xfId="0" applyFont="1" applyFill="1" applyBorder="1"/>
    <xf numFmtId="0" fontId="0" fillId="0" borderId="12" xfId="0" applyNumberFormat="1" applyBorder="1"/>
    <xf numFmtId="0" fontId="0" fillId="0" borderId="13" xfId="0" applyNumberFormat="1" applyBorder="1"/>
    <xf numFmtId="0" fontId="1" fillId="8" borderId="14" xfId="0" applyFont="1" applyFill="1" applyBorder="1"/>
    <xf numFmtId="0" fontId="1" fillId="7" borderId="2" xfId="0" applyFont="1" applyFill="1" applyBorder="1"/>
    <xf numFmtId="44" fontId="1" fillId="3" borderId="2" xfId="1" applyFont="1" applyFill="1" applyBorder="1"/>
    <xf numFmtId="0" fontId="1" fillId="8" borderId="2" xfId="0" applyFont="1" applyFill="1" applyBorder="1"/>
    <xf numFmtId="44" fontId="1" fillId="8" borderId="2" xfId="1" applyFont="1" applyFill="1" applyBorder="1"/>
    <xf numFmtId="44" fontId="1" fillId="7" borderId="2" xfId="1" applyFont="1" applyFill="1" applyBorder="1"/>
    <xf numFmtId="0" fontId="4" fillId="0" borderId="16" xfId="2" applyBorder="1"/>
    <xf numFmtId="44" fontId="0" fillId="0" borderId="17" xfId="1" applyFont="1" applyBorder="1"/>
    <xf numFmtId="0" fontId="4" fillId="0" borderId="18" xfId="2" applyBorder="1"/>
    <xf numFmtId="44" fontId="0" fillId="0" borderId="19" xfId="1" applyFont="1" applyBorder="1"/>
    <xf numFmtId="0" fontId="0" fillId="0" borderId="18" xfId="0" applyBorder="1"/>
    <xf numFmtId="0" fontId="0" fillId="0" borderId="16" xfId="0" applyBorder="1"/>
    <xf numFmtId="0" fontId="0" fillId="9" borderId="8" xfId="0" applyFill="1" applyBorder="1"/>
    <xf numFmtId="0" fontId="0" fillId="9" borderId="15" xfId="0" applyFill="1" applyBorder="1"/>
    <xf numFmtId="0" fontId="1" fillId="5" borderId="4" xfId="0" applyNumberFormat="1" applyFont="1" applyFill="1" applyBorder="1"/>
    <xf numFmtId="0" fontId="1" fillId="5" borderId="2" xfId="0" applyNumberFormat="1" applyFont="1" applyFill="1" applyBorder="1"/>
    <xf numFmtId="0" fontId="0" fillId="0" borderId="19" xfId="0" applyBorder="1"/>
    <xf numFmtId="0" fontId="0" fillId="0" borderId="17" xfId="0" applyNumberFormat="1" applyBorder="1"/>
  </cellXfs>
  <cellStyles count="3">
    <cellStyle name="Link" xfId="2" builtinId="8"/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72 Monospace" panose="020B0509030603020204" pitchFamily="49" charset="0"/>
              <a:ea typeface="+mn-ea"/>
              <a:cs typeface="72 Monospace" panose="020B0509030603020204" pitchFamily="49" charset="0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0.24973995621439338"/>
          <c:y val="0.13210443359150198"/>
          <c:w val="0.49426030666354492"/>
          <c:h val="0.75108750661317358"/>
        </c:manualLayout>
      </c:layout>
      <c:pieChart>
        <c:varyColors val="1"/>
        <c:ser>
          <c:idx val="0"/>
          <c:order val="0"/>
          <c:tx>
            <c:strRef>
              <c:f>'Diagramm - Punkteverteilung MCs'!$B$2</c:f>
              <c:strCache>
                <c:ptCount val="1"/>
                <c:pt idx="0">
                  <c:v>Anteil an Gesamtpunktzahl in % (gerundet)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F681-44A4-B4A9-B765D768DE2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F681-44A4-B4A9-B765D768DE2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681-44A4-B4A9-B765D768DE2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F681-44A4-B4A9-B765D768DE21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2526947C-B50E-4EFF-9AFB-1EE155273DBF}" type="VALUE">
                      <a:rPr lang="en-US" sz="1600"/>
                      <a:pPr/>
                      <a:t>[WERT]</a:t>
                    </a:fld>
                    <a:endParaRPr lang="de-AT"/>
                  </a:p>
                </c:rich>
              </c:tx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2-F681-44A4-B4A9-B765D768DE2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76B53F2E-76A6-464B-BE13-C729CD01BC49}" type="VALUE">
                      <a:rPr lang="en-US" sz="1600"/>
                      <a:pPr/>
                      <a:t>[WERT]</a:t>
                    </a:fld>
                    <a:endParaRPr lang="de-AT"/>
                  </a:p>
                </c:rich>
              </c:tx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4-F681-44A4-B4A9-B765D768DE2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553DCD02-C799-4BC0-8694-12502881B6AA}" type="VALUE">
                      <a:rPr lang="en-US" sz="1600"/>
                      <a:pPr/>
                      <a:t>[WERT]</a:t>
                    </a:fld>
                    <a:endParaRPr lang="de-AT"/>
                  </a:p>
                </c:rich>
              </c:tx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F681-44A4-B4A9-B765D768DE2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B18E4AAA-05D4-49B9-8877-E42F604CBDED}" type="VALUE">
                      <a:rPr lang="en-US" sz="1600"/>
                      <a:pPr/>
                      <a:t>[WERT]</a:t>
                    </a:fld>
                    <a:endParaRPr lang="de-AT"/>
                  </a:p>
                </c:rich>
              </c:tx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F681-44A4-B4A9-B765D768DE2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72 Monospace" panose="020B0509030603020204" pitchFamily="49" charset="0"/>
                    <a:ea typeface="+mn-ea"/>
                    <a:cs typeface="72 Monospace" panose="020B0509030603020204" pitchFamily="49" charset="0"/>
                  </a:defRPr>
                </a:pPr>
                <a:endParaRPr lang="de-DE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'Diagramm - Punkteverteilung MCs'!$A$3:$A$6</c:f>
              <c:strCache>
                <c:ptCount val="4"/>
                <c:pt idx="0">
                  <c:v>Kosten</c:v>
                </c:pt>
                <c:pt idx="1">
                  <c:v>Prozessorleistung</c:v>
                </c:pt>
                <c:pt idx="2">
                  <c:v>Datenübertragung</c:v>
                </c:pt>
                <c:pt idx="3">
                  <c:v>Stromverbrauch</c:v>
                </c:pt>
              </c:strCache>
            </c:strRef>
          </c:cat>
          <c:val>
            <c:numRef>
              <c:f>'Diagramm - Punkteverteilung MCs'!$B$3:$B$6</c:f>
              <c:numCache>
                <c:formatCode>0%</c:formatCode>
                <c:ptCount val="4"/>
                <c:pt idx="0">
                  <c:v>0.49</c:v>
                </c:pt>
                <c:pt idx="1">
                  <c:v>0.22</c:v>
                </c:pt>
                <c:pt idx="2">
                  <c:v>0.22</c:v>
                </c:pt>
                <c:pt idx="3">
                  <c:v>7.0000000000000007E-2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681-44A4-B4A9-B765D768DE21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72 Monospace" panose="020B0509030603020204" pitchFamily="49" charset="0"/>
              <a:ea typeface="+mn-ea"/>
              <a:cs typeface="72 Monospace" panose="020B0509030603020204" pitchFamily="49" charset="0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5400" cap="flat" cmpd="sng" algn="ctr">
      <a:solidFill>
        <a:schemeClr val="tx1"/>
      </a:solidFill>
      <a:round/>
    </a:ln>
    <a:effectLst/>
  </c:spPr>
  <c:txPr>
    <a:bodyPr/>
    <a:lstStyle/>
    <a:p>
      <a:pPr>
        <a:defRPr b="0">
          <a:solidFill>
            <a:schemeClr val="tx1"/>
          </a:solidFill>
          <a:latin typeface="72 Monospace" panose="020B0509030603020204" pitchFamily="49" charset="0"/>
          <a:cs typeface="72 Monospace" panose="020B0509030603020204" pitchFamily="49" charset="0"/>
        </a:defRPr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9524</xdr:colOff>
      <xdr:row>1</xdr:row>
      <xdr:rowOff>14286</xdr:rowOff>
    </xdr:from>
    <xdr:to>
      <xdr:col>10</xdr:col>
      <xdr:colOff>761999</xdr:colOff>
      <xdr:row>21</xdr:row>
      <xdr:rowOff>180974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109CBC57-F701-74D5-16C5-C1D87109C9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berrybase.at/raspberry-pi-pico-2w-rp2350-wlan-bluetooth-mikrocontroller-board" TargetMode="External"/><Relationship Id="rId3" Type="http://schemas.openxmlformats.org/officeDocument/2006/relationships/hyperlink" Target="https://www.reichelt.at/at/de/shop/produkt/arduino_nano_esp32_mit_header_esp32-s3_usb-c-353087" TargetMode="External"/><Relationship Id="rId7" Type="http://schemas.openxmlformats.org/officeDocument/2006/relationships/hyperlink" Target="https://www.welectron.com/Raspberry-Pi-Pico-2-W?src=raspberrypi" TargetMode="External"/><Relationship Id="rId2" Type="http://schemas.openxmlformats.org/officeDocument/2006/relationships/hyperlink" Target="https://www.mouser.at/ProductDetail/Arduino/ABX00083?qs=ulEaXIWI0c8OkA6u7pnNRA%3D%3D" TargetMode="External"/><Relationship Id="rId1" Type="http://schemas.openxmlformats.org/officeDocument/2006/relationships/hyperlink" Target="https://store.arduino.cc/collections/nano-family/products/nano-esp32-with-headers" TargetMode="External"/><Relationship Id="rId6" Type="http://schemas.openxmlformats.org/officeDocument/2006/relationships/hyperlink" Target="https://shop.heise.de/esp-32-dev-kit-c-v4" TargetMode="External"/><Relationship Id="rId5" Type="http://schemas.openxmlformats.org/officeDocument/2006/relationships/hyperlink" Target="https://www.az-delivery.de/products/esp-32-dev-kit-c-v4" TargetMode="External"/><Relationship Id="rId10" Type="http://schemas.openxmlformats.org/officeDocument/2006/relationships/printerSettings" Target="../printerSettings/printerSettings2.bin"/><Relationship Id="rId4" Type="http://schemas.openxmlformats.org/officeDocument/2006/relationships/hyperlink" Target="https://shop4akku.de/esp32-devkit-v4/" TargetMode="External"/><Relationship Id="rId9" Type="http://schemas.openxmlformats.org/officeDocument/2006/relationships/hyperlink" Target="https://www.reichelt.at/at/de/shop/produkt/raspberry_pi_pico_2_wh_rp235x_cortex-m33_wifi_microusb-39857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79F6D3-3634-4370-85DE-704EC2A81FED}">
  <dimension ref="A1:B7"/>
  <sheetViews>
    <sheetView workbookViewId="0">
      <selection activeCell="B22" sqref="B22"/>
    </sheetView>
  </sheetViews>
  <sheetFormatPr baseColWidth="10" defaultRowHeight="15" x14ac:dyDescent="0.25"/>
  <cols>
    <col min="1" max="1" width="17" bestFit="1" customWidth="1"/>
    <col min="2" max="2" width="39" bestFit="1" customWidth="1"/>
  </cols>
  <sheetData>
    <row r="1" spans="1:2" ht="16.5" thickBot="1" x14ac:dyDescent="0.3">
      <c r="A1" s="10" t="s">
        <v>4</v>
      </c>
      <c r="B1" s="11"/>
    </row>
    <row r="2" spans="1:2" ht="15.75" thickBot="1" x14ac:dyDescent="0.3">
      <c r="A2" s="3" t="s">
        <v>0</v>
      </c>
      <c r="B2" s="4" t="s">
        <v>1</v>
      </c>
    </row>
    <row r="3" spans="1:2" x14ac:dyDescent="0.25">
      <c r="A3" s="2" t="s">
        <v>2</v>
      </c>
      <c r="B3" s="5">
        <v>0.49</v>
      </c>
    </row>
    <row r="4" spans="1:2" x14ac:dyDescent="0.25">
      <c r="A4" s="1" t="s">
        <v>3</v>
      </c>
      <c r="B4" s="5">
        <v>0.22</v>
      </c>
    </row>
    <row r="5" spans="1:2" x14ac:dyDescent="0.25">
      <c r="A5" s="1" t="s">
        <v>5</v>
      </c>
      <c r="B5" s="5">
        <v>0.22</v>
      </c>
    </row>
    <row r="6" spans="1:2" ht="15.75" thickBot="1" x14ac:dyDescent="0.3">
      <c r="A6" s="6" t="s">
        <v>6</v>
      </c>
      <c r="B6" s="7">
        <v>7.0000000000000007E-2</v>
      </c>
    </row>
    <row r="7" spans="1:2" ht="15.75" thickBot="1" x14ac:dyDescent="0.3">
      <c r="A7" s="8" t="s">
        <v>7</v>
      </c>
      <c r="B7" s="9">
        <f>SUM(B3:B6)</f>
        <v>1</v>
      </c>
    </row>
  </sheetData>
  <mergeCells count="1">
    <mergeCell ref="A1:B1"/>
  </mergeCells>
  <pageMargins left="0.7" right="0.7" top="0.78740157499999996" bottom="0.78740157499999996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091F7-2C5E-465A-85A8-C5C259172273}">
  <dimension ref="A1:G18"/>
  <sheetViews>
    <sheetView tabSelected="1" workbookViewId="0">
      <selection activeCell="B7" sqref="B7"/>
    </sheetView>
  </sheetViews>
  <sheetFormatPr baseColWidth="10" defaultRowHeight="15" x14ac:dyDescent="0.25"/>
  <cols>
    <col min="1" max="1" width="17" bestFit="1" customWidth="1"/>
    <col min="2" max="2" width="19.140625" bestFit="1" customWidth="1"/>
    <col min="3" max="3" width="14.7109375" bestFit="1" customWidth="1"/>
    <col min="4" max="4" width="20" bestFit="1" customWidth="1"/>
    <col min="6" max="6" width="100.42578125" bestFit="1" customWidth="1"/>
    <col min="7" max="8" width="10.5703125" bestFit="1" customWidth="1"/>
    <col min="9" max="9" width="14.7109375" bestFit="1" customWidth="1"/>
    <col min="10" max="10" width="10.5703125" bestFit="1" customWidth="1"/>
    <col min="11" max="11" width="20" bestFit="1" customWidth="1"/>
    <col min="12" max="12" width="10.5703125" bestFit="1" customWidth="1"/>
  </cols>
  <sheetData>
    <row r="1" spans="1:7" ht="16.5" thickBot="1" x14ac:dyDescent="0.3">
      <c r="A1" s="10" t="s">
        <v>9</v>
      </c>
      <c r="B1" s="16"/>
      <c r="C1" s="16"/>
      <c r="D1" s="11"/>
      <c r="F1" s="12" t="s">
        <v>18</v>
      </c>
      <c r="G1" s="13"/>
    </row>
    <row r="2" spans="1:7" ht="15.75" thickBot="1" x14ac:dyDescent="0.3">
      <c r="A2" s="14" t="s">
        <v>8</v>
      </c>
      <c r="B2" s="15" t="s">
        <v>10</v>
      </c>
      <c r="C2" s="22" t="s">
        <v>11</v>
      </c>
      <c r="D2" s="18" t="s">
        <v>12</v>
      </c>
      <c r="F2" s="4" t="s">
        <v>10</v>
      </c>
      <c r="G2" s="4" t="s">
        <v>13</v>
      </c>
    </row>
    <row r="3" spans="1:7" x14ac:dyDescent="0.25">
      <c r="A3" s="32" t="s">
        <v>2</v>
      </c>
      <c r="B3" s="19">
        <f>MIN(20, ROUNDUP(100/G6,0))</f>
        <v>6</v>
      </c>
      <c r="C3" s="19">
        <f>MIN(20, ROUNDUP(100/G12,0))</f>
        <v>8</v>
      </c>
      <c r="D3" s="38">
        <f>MIN(20, ROUNDUP(100/G18,0))</f>
        <v>13</v>
      </c>
      <c r="F3" s="27" t="s">
        <v>14</v>
      </c>
      <c r="G3" s="28">
        <v>21.6</v>
      </c>
    </row>
    <row r="4" spans="1:7" x14ac:dyDescent="0.25">
      <c r="A4" s="31" t="s">
        <v>3</v>
      </c>
      <c r="B4" s="19">
        <v>6</v>
      </c>
      <c r="C4" s="1">
        <v>9</v>
      </c>
      <c r="D4" s="37">
        <v>3</v>
      </c>
      <c r="F4" s="29" t="s">
        <v>15</v>
      </c>
      <c r="G4" s="30">
        <v>16.600000000000001</v>
      </c>
    </row>
    <row r="5" spans="1:7" ht="15.75" thickBot="1" x14ac:dyDescent="0.3">
      <c r="A5" s="31" t="s">
        <v>5</v>
      </c>
      <c r="B5" s="19">
        <v>6</v>
      </c>
      <c r="C5" s="1">
        <v>3</v>
      </c>
      <c r="D5" s="37">
        <v>9</v>
      </c>
      <c r="F5" s="29" t="s">
        <v>17</v>
      </c>
      <c r="G5" s="30">
        <v>19.97</v>
      </c>
    </row>
    <row r="6" spans="1:7" ht="15.75" thickBot="1" x14ac:dyDescent="0.3">
      <c r="A6" s="31" t="s">
        <v>6</v>
      </c>
      <c r="B6" s="20">
        <v>3</v>
      </c>
      <c r="C6" s="1">
        <v>6</v>
      </c>
      <c r="D6" s="37">
        <v>9</v>
      </c>
      <c r="F6" s="4" t="s">
        <v>16</v>
      </c>
      <c r="G6" s="23">
        <f>AVERAGE(G3:G5)</f>
        <v>19.39</v>
      </c>
    </row>
    <row r="7" spans="1:7" ht="15.75" thickBot="1" x14ac:dyDescent="0.3">
      <c r="A7" s="8" t="s">
        <v>25</v>
      </c>
      <c r="B7" s="36">
        <f>SUM(B3:B6)</f>
        <v>21</v>
      </c>
      <c r="C7" s="35">
        <f t="shared" ref="C7:D7" si="0">SUM(C3:C6)</f>
        <v>26</v>
      </c>
      <c r="D7" s="35">
        <f t="shared" si="0"/>
        <v>34</v>
      </c>
      <c r="F7" s="33"/>
      <c r="G7" s="34"/>
    </row>
    <row r="8" spans="1:7" ht="15.75" thickBot="1" x14ac:dyDescent="0.3">
      <c r="F8" s="22" t="s">
        <v>11</v>
      </c>
      <c r="G8" s="17" t="s">
        <v>13</v>
      </c>
    </row>
    <row r="9" spans="1:7" x14ac:dyDescent="0.25">
      <c r="F9" s="27" t="s">
        <v>19</v>
      </c>
      <c r="G9" s="28">
        <v>13</v>
      </c>
    </row>
    <row r="10" spans="1:7" x14ac:dyDescent="0.25">
      <c r="F10" s="29" t="s">
        <v>20</v>
      </c>
      <c r="G10" s="30">
        <v>13.99</v>
      </c>
    </row>
    <row r="11" spans="1:7" ht="15.75" thickBot="1" x14ac:dyDescent="0.3">
      <c r="F11" s="29" t="s">
        <v>21</v>
      </c>
      <c r="G11" s="30">
        <v>11.9</v>
      </c>
    </row>
    <row r="12" spans="1:7" ht="15.75" thickBot="1" x14ac:dyDescent="0.3">
      <c r="F12" s="22" t="s">
        <v>16</v>
      </c>
      <c r="G12" s="26">
        <f>AVERAGE(G9:G11)</f>
        <v>12.963333333333333</v>
      </c>
    </row>
    <row r="13" spans="1:7" ht="15.75" thickBot="1" x14ac:dyDescent="0.3">
      <c r="F13" s="33"/>
      <c r="G13" s="34"/>
    </row>
    <row r="14" spans="1:7" ht="15.75" thickBot="1" x14ac:dyDescent="0.3">
      <c r="F14" s="24" t="s">
        <v>12</v>
      </c>
      <c r="G14" s="21" t="s">
        <v>13</v>
      </c>
    </row>
    <row r="15" spans="1:7" x14ac:dyDescent="0.25">
      <c r="F15" s="27" t="s">
        <v>22</v>
      </c>
      <c r="G15" s="30">
        <v>7.6</v>
      </c>
    </row>
    <row r="16" spans="1:7" x14ac:dyDescent="0.25">
      <c r="F16" s="29" t="s">
        <v>23</v>
      </c>
      <c r="G16" s="30">
        <v>8</v>
      </c>
    </row>
    <row r="17" spans="6:7" ht="15.75" thickBot="1" x14ac:dyDescent="0.3">
      <c r="F17" s="29" t="s">
        <v>24</v>
      </c>
      <c r="G17" s="30">
        <v>8.57</v>
      </c>
    </row>
    <row r="18" spans="6:7" ht="15.75" thickBot="1" x14ac:dyDescent="0.3">
      <c r="F18" s="24" t="s">
        <v>16</v>
      </c>
      <c r="G18" s="25">
        <f>AVERAGE(G15:G17)</f>
        <v>8.0566666666666666</v>
      </c>
    </row>
  </sheetData>
  <mergeCells count="2">
    <mergeCell ref="A1:D1"/>
    <mergeCell ref="F1:G1"/>
  </mergeCells>
  <hyperlinks>
    <hyperlink ref="F3" r:id="rId1" xr:uid="{BDA6AC5D-0BB1-4150-A48B-314E56DBAE5E}"/>
    <hyperlink ref="F4" r:id="rId2" xr:uid="{EEAD633B-863E-41E1-ABC0-07CD316DE6C1}"/>
    <hyperlink ref="F5" r:id="rId3" xr:uid="{B8565D1B-4D94-4C34-801E-47129249B15B}"/>
    <hyperlink ref="F9" r:id="rId4" xr:uid="{9A5D1B25-1B18-4807-8E9B-D6D5BF88BB30}"/>
    <hyperlink ref="F10" r:id="rId5" xr:uid="{37BDFEF7-3837-45A9-BCA3-43E81D9197A4}"/>
    <hyperlink ref="F11" r:id="rId6" xr:uid="{FED469AC-0385-4F1F-8623-34354F0D1BB7}"/>
    <hyperlink ref="F15" r:id="rId7" xr:uid="{E5690637-2148-484E-BA59-046FE1C0F873}"/>
    <hyperlink ref="F16" r:id="rId8" xr:uid="{801DEA99-48F7-4380-B225-1DF58CCF9D6D}"/>
    <hyperlink ref="F17" r:id="rId9" xr:uid="{1FC1C8E0-D738-4D70-9366-DE5FDD63D7C8}"/>
  </hyperlinks>
  <pageMargins left="0.7" right="0.7" top="0.78740157499999996" bottom="0.78740157499999996" header="0.3" footer="0.3"/>
  <pageSetup paperSize="9" orientation="portrait" r:id="rId1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Diagramm - Punkteverteilung MCs</vt:lpstr>
      <vt:lpstr>Diagramm - Vergleich MCs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Schaar Nikita</dc:creator>
  <cp:lastModifiedBy>Schaar Nikita</cp:lastModifiedBy>
  <dcterms:created xsi:type="dcterms:W3CDTF">2026-02-17T15:09:36Z</dcterms:created>
  <dcterms:modified xsi:type="dcterms:W3CDTF">2026-02-19T01:19:59Z</dcterms:modified>
</cp:coreProperties>
</file>