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ese\OneDrive\Dokumente\Schule\Diplomarbeit\Diplomarbeit_Tischkicker\Diplomarbeit\doc\Schaar\"/>
    </mc:Choice>
  </mc:AlternateContent>
  <xr:revisionPtr revIDLastSave="0" documentId="13_ncr:1_{39CB3D33-B327-4745-840F-0C898BE0BC68}" xr6:coauthVersionLast="47" xr6:coauthVersionMax="47" xr10:uidLastSave="{00000000-0000-0000-0000-000000000000}"/>
  <bookViews>
    <workbookView xWindow="-120" yWindow="-120" windowWidth="25440" windowHeight="15270" firstSheet="1" activeTab="3" xr2:uid="{6E91DB90-8AB8-47FA-9925-F6AA49AB0963}"/>
  </bookViews>
  <sheets>
    <sheet name="Diagramm - Punkteverteilung MCs" sheetId="1" r:id="rId1"/>
    <sheet name="Berechnung - Vergleich MCs" sheetId="2" r:id="rId2"/>
    <sheet name="Diagramm - Vergleich MCs" sheetId="3" r:id="rId3"/>
    <sheet name="Geschätzte Gesamtkosten - D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4" l="1"/>
  <c r="C16" i="4"/>
  <c r="C17" i="4" s="1"/>
  <c r="B15" i="4"/>
  <c r="B21" i="2"/>
  <c r="C6" i="4"/>
  <c r="D4" i="4"/>
  <c r="D9" i="4" s="1"/>
  <c r="D10" i="4" s="1"/>
  <c r="D3" i="2"/>
  <c r="D7" i="2" s="1"/>
  <c r="C3" i="2"/>
  <c r="C7" i="2" s="1"/>
  <c r="B3" i="2"/>
  <c r="B7" i="2" s="1"/>
  <c r="B15" i="2"/>
  <c r="B27" i="2"/>
  <c r="B7" i="1"/>
  <c r="D22" i="4" l="1"/>
</calcChain>
</file>

<file path=xl/sharedStrings.xml><?xml version="1.0" encoding="utf-8"?>
<sst xmlns="http://schemas.openxmlformats.org/spreadsheetml/2006/main" count="58" uniqueCount="42">
  <si>
    <t>Vergleichsbasis</t>
  </si>
  <si>
    <t>Anteil an Gesamtpunktzahl in % (gerundet)</t>
  </si>
  <si>
    <t>Kosten</t>
  </si>
  <si>
    <t>Prozessorleistung</t>
  </si>
  <si>
    <t>Punkteverteilung - Mikrocontroller</t>
  </si>
  <si>
    <t>Datenübertragung</t>
  </si>
  <si>
    <t>Stromverbrauch</t>
  </si>
  <si>
    <t>Gesamt</t>
  </si>
  <si>
    <t>Punktekategorie</t>
  </si>
  <si>
    <t>Punktevergabe - Mikrocontroller</t>
  </si>
  <si>
    <t>Arduino Nano ESP32</t>
  </si>
  <si>
    <t>ESP32 DevKit C</t>
  </si>
  <si>
    <t>Raspberry Pi Pico 2W</t>
  </si>
  <si>
    <t>Preis (in €)</t>
  </si>
  <si>
    <t>https://store.arduino.cc/collections/nano-family/products/nano-esp32-with-headers</t>
  </si>
  <si>
    <t>https://www.mouser.at/ProductDetail/Arduino/ABX00083?qs=ulEaXIWI0c8OkA6u7pnNRA%3D%3D</t>
  </si>
  <si>
    <t>Durchschnittlicher Preis</t>
  </si>
  <si>
    <t>https://www.reichelt.at/at/de/shop/produkt/arduino_nano_esp32_mit_header_esp32-s3_usb-c-353087</t>
  </si>
  <si>
    <t>Händler-Links (mit Kosten/1 St. exkl. Versand) für jeden Mikrocontroller (Stand 18.02.2026)</t>
  </si>
  <si>
    <t>https://shop4akku.de/esp32-devkit-v4/</t>
  </si>
  <si>
    <t>https://www.az-delivery.de/products/esp-32-dev-kit-c-v4</t>
  </si>
  <si>
    <t>https://shop.heise.de/esp-32-dev-kit-c-v4</t>
  </si>
  <si>
    <t>https://www.welectron.com/Raspberry-Pi-Pico-2-W?src=raspberrypi</t>
  </si>
  <si>
    <t>https://www.berrybase.at/raspberry-pi-pico-2w-rp2350-wlan-bluetooth-mikrocontroller-board</t>
  </si>
  <si>
    <t>https://www.reichelt.at/at/de/shop/produkt/raspberry_pi_pico_2_wh_rp235x_cortex-m33_wifi_microusb-398576</t>
  </si>
  <si>
    <t>Gesamtpunktzahl</t>
  </si>
  <si>
    <t>Kosten - Hardware</t>
  </si>
  <si>
    <t>Gesamtkosten/St.</t>
  </si>
  <si>
    <t>Gesamtkosten (2 St.)</t>
  </si>
  <si>
    <t>Filament</t>
  </si>
  <si>
    <t>Menge</t>
  </si>
  <si>
    <t>~4-5 kg</t>
  </si>
  <si>
    <t>Kabel</t>
  </si>
  <si>
    <t>Breadboard</t>
  </si>
  <si>
    <t>USB-Hub</t>
  </si>
  <si>
    <t>Kosten - Druck</t>
  </si>
  <si>
    <t>Kostenstelle</t>
  </si>
  <si>
    <t>Gesamtkosten (5 St.)</t>
  </si>
  <si>
    <t>https://www.buchbinderei-dienbauer.at/</t>
  </si>
  <si>
    <t>Kosten-Quelle für Binden der Arbeit:</t>
  </si>
  <si>
    <t>Drucken + Binden der Arbeit</t>
  </si>
  <si>
    <t>Geplante Gesamtkosten der Arbeit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</si>
</sst>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€&quot;\ * #,##0.00_-;\-&quot;€&quot;\ * #,##0.00_-;_-&quot;€&quot;\ * &quot;-&quot;??_-;_-@_-"/>
    <numFmt numFmtId="164" formatCode="&quot;€&quot;\ #,##0.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7">
    <xf numFmtId="0" fontId="0" fillId="0" borderId="0" xfId="0"/>
    <xf numFmtId="0" fontId="0" fillId="0" borderId="1" xfId="0" applyBorder="1"/>
    <xf numFmtId="0" fontId="0" fillId="0" borderId="3" xfId="0" applyBorder="1"/>
    <xf numFmtId="0" fontId="1" fillId="2" borderId="5" xfId="0" applyFont="1" applyFill="1" applyBorder="1"/>
    <xf numFmtId="0" fontId="1" fillId="3" borderId="2" xfId="0" applyFont="1" applyFill="1" applyBorder="1"/>
    <xf numFmtId="9" fontId="0" fillId="0" borderId="3" xfId="0" applyNumberFormat="1" applyBorder="1"/>
    <xf numFmtId="0" fontId="0" fillId="0" borderId="6" xfId="0" applyBorder="1"/>
    <xf numFmtId="9" fontId="0" fillId="0" borderId="7" xfId="0" applyNumberFormat="1" applyBorder="1"/>
    <xf numFmtId="0" fontId="1" fillId="5" borderId="5" xfId="0" applyFont="1" applyFill="1" applyBorder="1"/>
    <xf numFmtId="9" fontId="1" fillId="5" borderId="4" xfId="0" applyNumberFormat="1" applyFont="1" applyFill="1" applyBorder="1"/>
    <xf numFmtId="0" fontId="1" fillId="8" borderId="2" xfId="0" applyFont="1" applyFill="1" applyBorder="1"/>
    <xf numFmtId="0" fontId="4" fillId="0" borderId="17" xfId="2" applyBorder="1" applyAlignment="1">
      <alignment wrapText="1"/>
    </xf>
    <xf numFmtId="0" fontId="4" fillId="0" borderId="15" xfId="2" applyBorder="1" applyAlignment="1">
      <alignment wrapText="1"/>
    </xf>
    <xf numFmtId="0" fontId="1" fillId="7" borderId="24" xfId="0" applyFont="1" applyFill="1" applyBorder="1"/>
    <xf numFmtId="0" fontId="1" fillId="8" borderId="10" xfId="0" applyFont="1" applyFill="1" applyBorder="1"/>
    <xf numFmtId="0" fontId="1" fillId="3" borderId="24" xfId="0" applyFont="1" applyFill="1" applyBorder="1"/>
    <xf numFmtId="0" fontId="1" fillId="7" borderId="10" xfId="0" applyFont="1" applyFill="1" applyBorder="1"/>
    <xf numFmtId="0" fontId="0" fillId="9" borderId="5" xfId="0" applyFill="1" applyBorder="1"/>
    <xf numFmtId="0" fontId="6" fillId="2" borderId="9" xfId="0" applyFont="1" applyFill="1" applyBorder="1"/>
    <xf numFmtId="0" fontId="5" fillId="0" borderId="15" xfId="0" applyFont="1" applyBorder="1"/>
    <xf numFmtId="0" fontId="5" fillId="0" borderId="11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" xfId="0" applyFont="1" applyBorder="1"/>
    <xf numFmtId="0" fontId="5" fillId="0" borderId="18" xfId="0" applyFont="1" applyBorder="1"/>
    <xf numFmtId="0" fontId="5" fillId="0" borderId="12" xfId="0" applyFont="1" applyBorder="1"/>
    <xf numFmtId="0" fontId="6" fillId="5" borderId="5" xfId="0" applyFont="1" applyFill="1" applyBorder="1"/>
    <xf numFmtId="0" fontId="6" fillId="5" borderId="2" xfId="0" applyFont="1" applyFill="1" applyBorder="1"/>
    <xf numFmtId="0" fontId="6" fillId="5" borderId="4" xfId="0" applyFont="1" applyFill="1" applyBorder="1"/>
    <xf numFmtId="0" fontId="6" fillId="3" borderId="10" xfId="0" applyFont="1" applyFill="1" applyBorder="1" applyAlignment="1">
      <alignment wrapText="1"/>
    </xf>
    <xf numFmtId="0" fontId="6" fillId="7" borderId="2" xfId="0" applyFont="1" applyFill="1" applyBorder="1" applyAlignment="1">
      <alignment wrapText="1"/>
    </xf>
    <xf numFmtId="0" fontId="6" fillId="8" borderId="4" xfId="0" applyFont="1" applyFill="1" applyBorder="1" applyAlignment="1">
      <alignment wrapText="1"/>
    </xf>
    <xf numFmtId="0" fontId="6" fillId="2" borderId="5" xfId="0" applyFont="1" applyFill="1" applyBorder="1"/>
    <xf numFmtId="0" fontId="5" fillId="0" borderId="7" xfId="0" applyFont="1" applyBorder="1"/>
    <xf numFmtId="0" fontId="6" fillId="5" borderId="9" xfId="0" applyFont="1" applyFill="1" applyBorder="1"/>
    <xf numFmtId="0" fontId="6" fillId="3" borderId="2" xfId="0" applyFont="1" applyFill="1" applyBorder="1"/>
    <xf numFmtId="0" fontId="5" fillId="0" borderId="3" xfId="0" applyFont="1" applyBorder="1" applyAlignment="1">
      <alignment horizontal="right"/>
    </xf>
    <xf numFmtId="17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5" borderId="5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44" fontId="6" fillId="5" borderId="2" xfId="0" applyNumberFormat="1" applyFont="1" applyFill="1" applyBorder="1"/>
    <xf numFmtId="0" fontId="5" fillId="0" borderId="27" xfId="0" applyFont="1" applyBorder="1"/>
    <xf numFmtId="0" fontId="5" fillId="0" borderId="29" xfId="0" applyFont="1" applyBorder="1"/>
    <xf numFmtId="44" fontId="5" fillId="0" borderId="16" xfId="1" applyFont="1" applyBorder="1"/>
    <xf numFmtId="44" fontId="5" fillId="0" borderId="18" xfId="1" applyFont="1" applyBorder="1"/>
    <xf numFmtId="44" fontId="5" fillId="0" borderId="31" xfId="1" applyFont="1" applyBorder="1"/>
    <xf numFmtId="0" fontId="2" fillId="4" borderId="5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64" fontId="5" fillId="0" borderId="22" xfId="1" applyNumberFormat="1" applyFont="1" applyBorder="1" applyAlignment="1">
      <alignment horizontal="center"/>
    </xf>
    <xf numFmtId="164" fontId="5" fillId="0" borderId="0" xfId="1" applyNumberFormat="1" applyFont="1" applyBorder="1" applyAlignment="1">
      <alignment horizontal="center"/>
    </xf>
    <xf numFmtId="164" fontId="5" fillId="0" borderId="14" xfId="1" applyNumberFormat="1" applyFont="1" applyBorder="1" applyAlignment="1">
      <alignment horizontal="center"/>
    </xf>
    <xf numFmtId="164" fontId="6" fillId="3" borderId="19" xfId="1" applyNumberFormat="1" applyFont="1" applyFill="1" applyBorder="1" applyAlignment="1">
      <alignment horizontal="center"/>
    </xf>
    <xf numFmtId="164" fontId="6" fillId="3" borderId="20" xfId="1" applyNumberFormat="1" applyFont="1" applyFill="1" applyBorder="1" applyAlignment="1">
      <alignment horizontal="center"/>
    </xf>
    <xf numFmtId="164" fontId="6" fillId="3" borderId="13" xfId="1" applyNumberFormat="1" applyFont="1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23" xfId="0" applyFont="1" applyFill="1" applyBorder="1" applyAlignment="1">
      <alignment horizontal="center"/>
    </xf>
    <xf numFmtId="0" fontId="1" fillId="7" borderId="21" xfId="0" applyFont="1" applyFill="1" applyBorder="1" applyAlignment="1">
      <alignment horizontal="center"/>
    </xf>
    <xf numFmtId="164" fontId="6" fillId="8" borderId="5" xfId="1" applyNumberFormat="1" applyFont="1" applyFill="1" applyBorder="1" applyAlignment="1">
      <alignment horizontal="center"/>
    </xf>
    <xf numFmtId="164" fontId="6" fillId="8" borderId="8" xfId="1" applyNumberFormat="1" applyFont="1" applyFill="1" applyBorder="1" applyAlignment="1">
      <alignment horizontal="center"/>
    </xf>
    <xf numFmtId="164" fontId="6" fillId="8" borderId="4" xfId="1" applyNumberFormat="1" applyFont="1" applyFill="1" applyBorder="1" applyAlignment="1">
      <alignment horizontal="center"/>
    </xf>
    <xf numFmtId="164" fontId="6" fillId="7" borderId="19" xfId="1" applyNumberFormat="1" applyFont="1" applyFill="1" applyBorder="1" applyAlignment="1">
      <alignment horizontal="center"/>
    </xf>
    <xf numFmtId="164" fontId="6" fillId="7" borderId="20" xfId="1" applyNumberFormat="1" applyFont="1" applyFill="1" applyBorder="1" applyAlignment="1">
      <alignment horizontal="center"/>
    </xf>
    <xf numFmtId="164" fontId="6" fillId="7" borderId="13" xfId="1" applyNumberFormat="1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8" borderId="23" xfId="0" applyFont="1" applyFill="1" applyBorder="1" applyAlignment="1">
      <alignment horizontal="center"/>
    </xf>
    <xf numFmtId="0" fontId="1" fillId="8" borderId="21" xfId="0" applyFont="1" applyFill="1" applyBorder="1" applyAlignment="1">
      <alignment horizontal="center"/>
    </xf>
    <xf numFmtId="0" fontId="7" fillId="10" borderId="19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/>
    </xf>
    <xf numFmtId="0" fontId="7" fillId="10" borderId="21" xfId="0" applyFont="1" applyFill="1" applyBorder="1" applyAlignment="1">
      <alignment horizontal="center" vertical="center"/>
    </xf>
    <xf numFmtId="44" fontId="7" fillId="10" borderId="24" xfId="0" applyNumberFormat="1" applyFont="1" applyFill="1" applyBorder="1" applyAlignment="1">
      <alignment horizontal="center" vertical="center"/>
    </xf>
    <xf numFmtId="44" fontId="7" fillId="10" borderId="10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44" fontId="5" fillId="0" borderId="25" xfId="1" applyFont="1" applyBorder="1" applyAlignment="1">
      <alignment horizontal="center"/>
    </xf>
    <xf numFmtId="44" fontId="5" fillId="0" borderId="28" xfId="1" applyFont="1" applyBorder="1" applyAlignment="1">
      <alignment horizontal="center"/>
    </xf>
    <xf numFmtId="44" fontId="5" fillId="0" borderId="26" xfId="1" applyFont="1" applyBorder="1" applyAlignment="1">
      <alignment horizontal="center"/>
    </xf>
    <xf numFmtId="44" fontId="5" fillId="0" borderId="30" xfId="1" applyFont="1" applyBorder="1" applyAlignment="1">
      <alignment horizontal="center"/>
    </xf>
    <xf numFmtId="44" fontId="6" fillId="5" borderId="5" xfId="0" applyNumberFormat="1" applyFont="1" applyFill="1" applyBorder="1" applyAlignment="1">
      <alignment horizontal="center"/>
    </xf>
    <xf numFmtId="44" fontId="6" fillId="5" borderId="4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2" applyFont="1" applyAlignment="1">
      <alignment horizontal="center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72 Monospace" panose="020B0509030603020204" pitchFamily="49" charset="0"/>
              <a:ea typeface="+mn-ea"/>
              <a:cs typeface="72 Monospace" panose="020B0509030603020204" pitchFamily="49" charset="0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24973995621439338"/>
          <c:y val="0.13210443359150198"/>
          <c:w val="0.49426030666354492"/>
          <c:h val="0.75108750661317358"/>
        </c:manualLayout>
      </c:layout>
      <c:pieChart>
        <c:varyColors val="1"/>
        <c:ser>
          <c:idx val="0"/>
          <c:order val="0"/>
          <c:tx>
            <c:strRef>
              <c:f>'Diagramm - Punkteverteilung MCs'!$B$2</c:f>
              <c:strCache>
                <c:ptCount val="1"/>
                <c:pt idx="0">
                  <c:v>Anteil an Gesamtpunktzahl in % (gerundet)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681-44A4-B4A9-B765D768DE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681-44A4-B4A9-B765D768DE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81-44A4-B4A9-B765D768DE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81-44A4-B4A9-B765D768DE2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526947C-B50E-4EFF-9AFB-1EE155273DBF}" type="VALUE">
                      <a:rPr lang="en-US" sz="1600"/>
                      <a:pPr/>
                      <a:t>[WERT]</a:t>
                    </a:fld>
                    <a:endParaRPr lang="de-AT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681-44A4-B4A9-B765D768DE2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6B53F2E-76A6-464B-BE13-C729CD01BC49}" type="VALUE">
                      <a:rPr lang="en-US" sz="1600"/>
                      <a:pPr/>
                      <a:t>[WERT]</a:t>
                    </a:fld>
                    <a:endParaRPr lang="de-AT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F681-44A4-B4A9-B765D768DE2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53DCD02-C799-4BC0-8694-12502881B6AA}" type="VALUE">
                      <a:rPr lang="en-US" sz="1600"/>
                      <a:pPr/>
                      <a:t>[WERT]</a:t>
                    </a:fld>
                    <a:endParaRPr lang="de-AT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681-44A4-B4A9-B765D768DE2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18E4AAA-05D4-49B9-8877-E42F604CBDED}" type="VALUE">
                      <a:rPr lang="en-US" sz="1600"/>
                      <a:pPr/>
                      <a:t>[WERT]</a:t>
                    </a:fld>
                    <a:endParaRPr lang="de-AT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681-44A4-B4A9-B765D768DE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72 Monospace" panose="020B0509030603020204" pitchFamily="49" charset="0"/>
                    <a:ea typeface="+mn-ea"/>
                    <a:cs typeface="72 Monospace" panose="020B0509030603020204" pitchFamily="49" charset="0"/>
                  </a:defRPr>
                </a:pPr>
                <a:endParaRPr lang="de-D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'Diagramm - Punkteverteilung MCs'!$A$3:$A$6</c:f>
              <c:strCache>
                <c:ptCount val="4"/>
                <c:pt idx="0">
                  <c:v>Kosten</c:v>
                </c:pt>
                <c:pt idx="1">
                  <c:v>Prozessorleistung</c:v>
                </c:pt>
                <c:pt idx="2">
                  <c:v>Datenübertragung</c:v>
                </c:pt>
                <c:pt idx="3">
                  <c:v>Stromverbrauch</c:v>
                </c:pt>
              </c:strCache>
            </c:strRef>
          </c:cat>
          <c:val>
            <c:numRef>
              <c:f>'Diagramm - Punkteverteilung MCs'!$B$3:$B$6</c:f>
              <c:numCache>
                <c:formatCode>0%</c:formatCode>
                <c:ptCount val="4"/>
                <c:pt idx="0">
                  <c:v>0.49</c:v>
                </c:pt>
                <c:pt idx="1">
                  <c:v>0.22</c:v>
                </c:pt>
                <c:pt idx="2">
                  <c:v>0.22</c:v>
                </c:pt>
                <c:pt idx="3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1-44A4-B4A9-B765D768DE2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72 Monospace" panose="020B0509030603020204" pitchFamily="49" charset="0"/>
              <a:ea typeface="+mn-ea"/>
              <a:cs typeface="72 Monospace" panose="020B0509030603020204" pitchFamily="49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72 Monospace" panose="020B0509030603020204" pitchFamily="49" charset="0"/>
          <a:cs typeface="72 Monospace" panose="020B0509030603020204" pitchFamily="49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72 Monospace" panose="020B0509030603020204" pitchFamily="49" charset="0"/>
                <a:ea typeface="+mn-ea"/>
                <a:cs typeface="72 Monospace" panose="020B0509030603020204" pitchFamily="49" charset="0"/>
              </a:defRPr>
            </a:pPr>
            <a:r>
              <a:rPr lang="de-AT"/>
              <a:t>Punkteverteilung - Mikrocontroller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72 Monospace" panose="020B0509030603020204" pitchFamily="49" charset="0"/>
              <a:ea typeface="+mn-ea"/>
              <a:cs typeface="72 Monospace" panose="020B0509030603020204" pitchFamily="49" charset="0"/>
            </a:defRPr>
          </a:pPr>
          <a:endParaRPr lang="de-A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'Berechnung - Vergleich MCs'!$B$2</c:f>
              <c:strCache>
                <c:ptCount val="1"/>
                <c:pt idx="0">
                  <c:v>Arduino Nano ESP32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'Berechnung - Vergleich MCs'!$A$3:$A$6</c:f>
              <c:strCache>
                <c:ptCount val="4"/>
                <c:pt idx="0">
                  <c:v>Kosten</c:v>
                </c:pt>
                <c:pt idx="1">
                  <c:v>Prozessorleistung</c:v>
                </c:pt>
                <c:pt idx="2">
                  <c:v>Datenübertragung</c:v>
                </c:pt>
                <c:pt idx="3">
                  <c:v>Stromverbrauch</c:v>
                </c:pt>
              </c:strCache>
            </c:strRef>
          </c:cat>
          <c:val>
            <c:numRef>
              <c:f>'Berechnung - Vergleich MCs'!$B$3:$B$6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F-4826-A638-DFF1E37CA8F9}"/>
            </c:ext>
          </c:extLst>
        </c:ser>
        <c:ser>
          <c:idx val="1"/>
          <c:order val="1"/>
          <c:tx>
            <c:strRef>
              <c:f>'Berechnung - Vergleich MCs'!$C$2</c:f>
              <c:strCache>
                <c:ptCount val="1"/>
                <c:pt idx="0">
                  <c:v>ESP32 DevKit 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'Berechnung - Vergleich MCs'!$A$3:$A$6</c:f>
              <c:strCache>
                <c:ptCount val="4"/>
                <c:pt idx="0">
                  <c:v>Kosten</c:v>
                </c:pt>
                <c:pt idx="1">
                  <c:v>Prozessorleistung</c:v>
                </c:pt>
                <c:pt idx="2">
                  <c:v>Datenübertragung</c:v>
                </c:pt>
                <c:pt idx="3">
                  <c:v>Stromverbrauch</c:v>
                </c:pt>
              </c:strCache>
            </c:strRef>
          </c:cat>
          <c:val>
            <c:numRef>
              <c:f>'Berechnung - Vergleich MCs'!$C$3:$C$6</c:f>
              <c:numCache>
                <c:formatCode>General</c:formatCode>
                <c:ptCount val="4"/>
                <c:pt idx="0">
                  <c:v>8</c:v>
                </c:pt>
                <c:pt idx="1">
                  <c:v>9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5F-4826-A638-DFF1E37CA8F9}"/>
            </c:ext>
          </c:extLst>
        </c:ser>
        <c:ser>
          <c:idx val="2"/>
          <c:order val="2"/>
          <c:tx>
            <c:strRef>
              <c:f>'Berechnung - Vergleich MCs'!$D$2</c:f>
              <c:strCache>
                <c:ptCount val="1"/>
                <c:pt idx="0">
                  <c:v>Raspberry Pi Pico 2W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'Berechnung - Vergleich MCs'!$A$3:$A$6</c:f>
              <c:strCache>
                <c:ptCount val="4"/>
                <c:pt idx="0">
                  <c:v>Kosten</c:v>
                </c:pt>
                <c:pt idx="1">
                  <c:v>Prozessorleistung</c:v>
                </c:pt>
                <c:pt idx="2">
                  <c:v>Datenübertragung</c:v>
                </c:pt>
                <c:pt idx="3">
                  <c:v>Stromverbrauch</c:v>
                </c:pt>
              </c:strCache>
            </c:strRef>
          </c:cat>
          <c:val>
            <c:numRef>
              <c:f>'Berechnung - Vergleich MCs'!$D$3:$D$6</c:f>
              <c:numCache>
                <c:formatCode>General</c:formatCode>
                <c:ptCount val="4"/>
                <c:pt idx="0">
                  <c:v>13</c:v>
                </c:pt>
                <c:pt idx="1">
                  <c:v>3</c:v>
                </c:pt>
                <c:pt idx="2">
                  <c:v>9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5F-4826-A638-DFF1E37CA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0533439"/>
        <c:axId val="960534399"/>
      </c:barChart>
      <c:catAx>
        <c:axId val="96053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72 Monospace" panose="020B0509030603020204" pitchFamily="49" charset="0"/>
                <a:ea typeface="+mn-ea"/>
                <a:cs typeface="72 Monospace" panose="020B0509030603020204" pitchFamily="49" charset="0"/>
              </a:defRPr>
            </a:pPr>
            <a:endParaRPr lang="de-DE"/>
          </a:p>
        </c:txPr>
        <c:crossAx val="960534399"/>
        <c:crosses val="autoZero"/>
        <c:auto val="1"/>
        <c:lblAlgn val="ctr"/>
        <c:lblOffset val="100"/>
        <c:noMultiLvlLbl val="0"/>
      </c:catAx>
      <c:valAx>
        <c:axId val="96053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72 Monospace" panose="020B0509030603020204" pitchFamily="49" charset="0"/>
                <a:ea typeface="+mn-ea"/>
                <a:cs typeface="72 Monospace" panose="020B0509030603020204" pitchFamily="49" charset="0"/>
              </a:defRPr>
            </a:pPr>
            <a:endParaRPr lang="de-DE"/>
          </a:p>
        </c:txPr>
        <c:crossAx val="96053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72 Monospace" panose="020B0509030603020204" pitchFamily="49" charset="0"/>
              <a:ea typeface="+mn-ea"/>
              <a:cs typeface="72 Monospace" panose="020B0509030603020204" pitchFamily="49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  <a:latin typeface="72 Monospace" panose="020B0509030603020204" pitchFamily="49" charset="0"/>
          <a:cs typeface="72 Monospace" panose="020B0509030603020204" pitchFamily="49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72 Monospace" panose="020B0509030603020204" pitchFamily="49" charset="0"/>
                <a:ea typeface="+mn-ea"/>
                <a:cs typeface="72 Monospace" panose="020B0509030603020204" pitchFamily="49" charset="0"/>
              </a:defRPr>
            </a:pPr>
            <a:r>
              <a:rPr lang="de-AT"/>
              <a:t>Gesamtpunktzahl - Mikrocontroller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72 Monospace" panose="020B0509030603020204" pitchFamily="49" charset="0"/>
              <a:ea typeface="+mn-ea"/>
              <a:cs typeface="72 Monospace" panose="020B0509030603020204" pitchFamily="49" charset="0"/>
            </a:defRPr>
          </a:pPr>
          <a:endParaRPr lang="de-A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1F-4E01-9A63-70A89FF1BDF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E1F-4E01-9A63-70A89FF1BDFB}"/>
              </c:ext>
            </c:extLst>
          </c:dPt>
          <c:cat>
            <c:strRef>
              <c:f>'Berechnung - Vergleich MCs'!$B$2:$D$2</c:f>
              <c:strCache>
                <c:ptCount val="3"/>
                <c:pt idx="0">
                  <c:v>Arduino Nano ESP32</c:v>
                </c:pt>
                <c:pt idx="1">
                  <c:v>ESP32 DevKit C</c:v>
                </c:pt>
                <c:pt idx="2">
                  <c:v>Raspberry Pi Pico 2W</c:v>
                </c:pt>
              </c:strCache>
            </c:strRef>
          </c:cat>
          <c:val>
            <c:numRef>
              <c:f>'Berechnung - Vergleich MCs'!$B$7:$D$7</c:f>
              <c:numCache>
                <c:formatCode>General</c:formatCode>
                <c:ptCount val="3"/>
                <c:pt idx="0">
                  <c:v>19</c:v>
                </c:pt>
                <c:pt idx="1">
                  <c:v>22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F-4E01-9A63-70A89FF1B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3529951"/>
        <c:axId val="1023533791"/>
      </c:barChart>
      <c:catAx>
        <c:axId val="102352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72 Monospace" panose="020B0509030603020204" pitchFamily="49" charset="0"/>
                <a:ea typeface="+mn-ea"/>
                <a:cs typeface="72 Monospace" panose="020B0509030603020204" pitchFamily="49" charset="0"/>
              </a:defRPr>
            </a:pPr>
            <a:endParaRPr lang="de-DE"/>
          </a:p>
        </c:txPr>
        <c:crossAx val="1023533791"/>
        <c:crosses val="autoZero"/>
        <c:auto val="1"/>
        <c:lblAlgn val="ctr"/>
        <c:lblOffset val="100"/>
        <c:noMultiLvlLbl val="0"/>
      </c:catAx>
      <c:valAx>
        <c:axId val="102353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72 Monospace" panose="020B0509030603020204" pitchFamily="49" charset="0"/>
                <a:ea typeface="+mn-ea"/>
                <a:cs typeface="72 Monospace" panose="020B0509030603020204" pitchFamily="49" charset="0"/>
              </a:defRPr>
            </a:pPr>
            <a:endParaRPr lang="de-DE"/>
          </a:p>
        </c:txPr>
        <c:crossAx val="102352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  <a:latin typeface="72 Monospace" panose="020B0509030603020204" pitchFamily="49" charset="0"/>
          <a:cs typeface="72 Monospace" panose="020B0509030603020204" pitchFamily="49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14286</xdr:rowOff>
    </xdr:from>
    <xdr:to>
      <xdr:col>10</xdr:col>
      <xdr:colOff>761999</xdr:colOff>
      <xdr:row>21</xdr:row>
      <xdr:rowOff>180974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09CBC57-F701-74D5-16C5-C1D87109C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0</xdr:row>
      <xdr:rowOff>9524</xdr:rowOff>
    </xdr:from>
    <xdr:to>
      <xdr:col>8</xdr:col>
      <xdr:colOff>114299</xdr:colOff>
      <xdr:row>19</xdr:row>
      <xdr:rowOff>53339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64BCEB3-10C7-40FF-B317-95576B4F5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95249</xdr:colOff>
      <xdr:row>19</xdr:row>
      <xdr:rowOff>57149</xdr:rowOff>
    </xdr:from>
    <xdr:to>
      <xdr:col>8</xdr:col>
      <xdr:colOff>111124</xdr:colOff>
      <xdr:row>38</xdr:row>
      <xdr:rowOff>104774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4AA50F57-F6F9-4D9C-B154-887E06F03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errybase.at/raspberry-pi-pico-2w-rp2350-wlan-bluetooth-mikrocontroller-board" TargetMode="External"/><Relationship Id="rId3" Type="http://schemas.openxmlformats.org/officeDocument/2006/relationships/hyperlink" Target="https://www.reichelt.at/at/de/shop/produkt/arduino_nano_esp32_mit_header_esp32-s3_usb-c-353087" TargetMode="External"/><Relationship Id="rId7" Type="http://schemas.openxmlformats.org/officeDocument/2006/relationships/hyperlink" Target="https://www.welectron.com/Raspberry-Pi-Pico-2-W?src=raspberrypi" TargetMode="External"/><Relationship Id="rId2" Type="http://schemas.openxmlformats.org/officeDocument/2006/relationships/hyperlink" Target="https://www.mouser.at/ProductDetail/Arduino/ABX00083?qs=ulEaXIWI0c8OkA6u7pnNRA%3D%3D" TargetMode="External"/><Relationship Id="rId1" Type="http://schemas.openxmlformats.org/officeDocument/2006/relationships/hyperlink" Target="https://store.arduino.cc/collections/nano-family/products/nano-esp32-with-headers" TargetMode="External"/><Relationship Id="rId6" Type="http://schemas.openxmlformats.org/officeDocument/2006/relationships/hyperlink" Target="https://shop.heise.de/esp-32-dev-kit-c-v4" TargetMode="External"/><Relationship Id="rId5" Type="http://schemas.openxmlformats.org/officeDocument/2006/relationships/hyperlink" Target="https://www.az-delivery.de/products/esp-32-dev-kit-c-v4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shop4akku.de/esp32-devkit-v4/" TargetMode="External"/><Relationship Id="rId9" Type="http://schemas.openxmlformats.org/officeDocument/2006/relationships/hyperlink" Target="https://www.reichelt.at/at/de/shop/produkt/raspberry_pi_pico_2_wh_rp235x_cortex-m33_wifi_microusb-39857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buchbinderei-dienbauer.a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F6D3-3634-4370-85DE-704EC2A81FED}">
  <dimension ref="A1:B7"/>
  <sheetViews>
    <sheetView workbookViewId="0">
      <selection activeCell="B13" sqref="B13"/>
    </sheetView>
  </sheetViews>
  <sheetFormatPr baseColWidth="10" defaultRowHeight="15" x14ac:dyDescent="0.25"/>
  <cols>
    <col min="1" max="1" width="17" bestFit="1" customWidth="1"/>
    <col min="2" max="2" width="39" bestFit="1" customWidth="1"/>
  </cols>
  <sheetData>
    <row r="1" spans="1:2" ht="16.5" thickBot="1" x14ac:dyDescent="0.3">
      <c r="A1" s="47" t="s">
        <v>4</v>
      </c>
      <c r="B1" s="48"/>
    </row>
    <row r="2" spans="1:2" ht="15.75" thickBot="1" x14ac:dyDescent="0.3">
      <c r="A2" s="3" t="s">
        <v>0</v>
      </c>
      <c r="B2" s="4" t="s">
        <v>1</v>
      </c>
    </row>
    <row r="3" spans="1:2" x14ac:dyDescent="0.25">
      <c r="A3" s="2" t="s">
        <v>2</v>
      </c>
      <c r="B3" s="5">
        <v>0.49</v>
      </c>
    </row>
    <row r="4" spans="1:2" x14ac:dyDescent="0.25">
      <c r="A4" s="1" t="s">
        <v>3</v>
      </c>
      <c r="B4" s="5">
        <v>0.22</v>
      </c>
    </row>
    <row r="5" spans="1:2" x14ac:dyDescent="0.25">
      <c r="A5" s="1" t="s">
        <v>5</v>
      </c>
      <c r="B5" s="5">
        <v>0.22</v>
      </c>
    </row>
    <row r="6" spans="1:2" ht="15.75" thickBot="1" x14ac:dyDescent="0.3">
      <c r="A6" s="6" t="s">
        <v>6</v>
      </c>
      <c r="B6" s="7">
        <v>7.0000000000000007E-2</v>
      </c>
    </row>
    <row r="7" spans="1:2" ht="15.75" thickBot="1" x14ac:dyDescent="0.3">
      <c r="A7" s="8" t="s">
        <v>7</v>
      </c>
      <c r="B7" s="9">
        <f>SUM(B3:B6)</f>
        <v>1</v>
      </c>
    </row>
  </sheetData>
  <mergeCells count="1">
    <mergeCell ref="A1:B1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91F7-2C5E-465A-85A8-C5C259172273}">
  <dimension ref="A1:D27"/>
  <sheetViews>
    <sheetView topLeftCell="A2" zoomScaleNormal="100" workbookViewId="0">
      <selection activeCell="E23" sqref="E23"/>
    </sheetView>
  </sheetViews>
  <sheetFormatPr baseColWidth="10" defaultRowHeight="15" x14ac:dyDescent="0.25"/>
  <cols>
    <col min="1" max="1" width="52.28515625" bestFit="1" customWidth="1"/>
    <col min="2" max="2" width="15.42578125" customWidth="1"/>
    <col min="3" max="3" width="10.85546875" customWidth="1"/>
    <col min="4" max="4" width="15" customWidth="1"/>
    <col min="6" max="6" width="100.42578125" bestFit="1" customWidth="1"/>
    <col min="7" max="8" width="10.5703125" bestFit="1" customWidth="1"/>
    <col min="9" max="9" width="14.7109375" bestFit="1" customWidth="1"/>
    <col min="10" max="10" width="10.5703125" bestFit="1" customWidth="1"/>
    <col min="11" max="11" width="20" bestFit="1" customWidth="1"/>
    <col min="12" max="12" width="10.5703125" bestFit="1" customWidth="1"/>
  </cols>
  <sheetData>
    <row r="1" spans="1:4" ht="21.75" thickBot="1" x14ac:dyDescent="0.4">
      <c r="A1" s="49" t="s">
        <v>9</v>
      </c>
      <c r="B1" s="50"/>
      <c r="C1" s="50"/>
      <c r="D1" s="51"/>
    </row>
    <row r="2" spans="1:4" ht="38.25" thickBot="1" x14ac:dyDescent="0.35">
      <c r="A2" s="18" t="s">
        <v>8</v>
      </c>
      <c r="B2" s="29" t="s">
        <v>10</v>
      </c>
      <c r="C2" s="30" t="s">
        <v>11</v>
      </c>
      <c r="D2" s="31" t="s">
        <v>12</v>
      </c>
    </row>
    <row r="3" spans="1:4" ht="18.75" x14ac:dyDescent="0.3">
      <c r="A3" s="19" t="s">
        <v>2</v>
      </c>
      <c r="B3" s="20">
        <f>MIN(20, ROUNDUP(100/B15,0))</f>
        <v>6</v>
      </c>
      <c r="C3" s="20">
        <f>MIN(20, ROUNDUP(100/B21,0))</f>
        <v>8</v>
      </c>
      <c r="D3" s="21">
        <f>MIN(20, ROUNDUP(100/B27,0))</f>
        <v>13</v>
      </c>
    </row>
    <row r="4" spans="1:4" ht="18.75" x14ac:dyDescent="0.3">
      <c r="A4" s="22" t="s">
        <v>3</v>
      </c>
      <c r="B4" s="20">
        <v>6</v>
      </c>
      <c r="C4" s="23">
        <v>9</v>
      </c>
      <c r="D4" s="24">
        <v>3</v>
      </c>
    </row>
    <row r="5" spans="1:4" ht="18.75" x14ac:dyDescent="0.3">
      <c r="A5" s="22" t="s">
        <v>5</v>
      </c>
      <c r="B5" s="20">
        <v>6</v>
      </c>
      <c r="C5" s="23">
        <v>3</v>
      </c>
      <c r="D5" s="24">
        <v>9</v>
      </c>
    </row>
    <row r="6" spans="1:4" ht="19.5" thickBot="1" x14ac:dyDescent="0.35">
      <c r="A6" s="22" t="s">
        <v>6</v>
      </c>
      <c r="B6" s="25">
        <v>1</v>
      </c>
      <c r="C6" s="23">
        <v>2</v>
      </c>
      <c r="D6" s="24">
        <v>3</v>
      </c>
    </row>
    <row r="7" spans="1:4" ht="19.5" thickBot="1" x14ac:dyDescent="0.35">
      <c r="A7" s="26" t="s">
        <v>25</v>
      </c>
      <c r="B7" s="27">
        <f>SUM(B3:B6)</f>
        <v>19</v>
      </c>
      <c r="C7" s="28">
        <f t="shared" ref="C7:D7" si="0">SUM(C3:C6)</f>
        <v>22</v>
      </c>
      <c r="D7" s="28">
        <f t="shared" si="0"/>
        <v>28</v>
      </c>
    </row>
    <row r="9" spans="1:4" ht="15.75" thickBot="1" x14ac:dyDescent="0.3"/>
    <row r="10" spans="1:4" ht="16.5" thickBot="1" x14ac:dyDescent="0.3">
      <c r="A10" s="52" t="s">
        <v>18</v>
      </c>
      <c r="B10" s="53"/>
      <c r="C10" s="53"/>
      <c r="D10" s="54"/>
    </row>
    <row r="11" spans="1:4" ht="15.75" thickBot="1" x14ac:dyDescent="0.3">
      <c r="A11" s="4" t="s">
        <v>10</v>
      </c>
      <c r="B11" s="55" t="s">
        <v>13</v>
      </c>
      <c r="C11" s="56"/>
      <c r="D11" s="57"/>
    </row>
    <row r="12" spans="1:4" ht="30.75" x14ac:dyDescent="0.3">
      <c r="A12" s="12" t="s">
        <v>14</v>
      </c>
      <c r="B12" s="58">
        <v>21.6</v>
      </c>
      <c r="C12" s="59"/>
      <c r="D12" s="60"/>
    </row>
    <row r="13" spans="1:4" ht="30.75" x14ac:dyDescent="0.3">
      <c r="A13" s="11" t="s">
        <v>15</v>
      </c>
      <c r="B13" s="58">
        <v>16.600000000000001</v>
      </c>
      <c r="C13" s="59"/>
      <c r="D13" s="60"/>
    </row>
    <row r="14" spans="1:4" ht="31.5" thickBot="1" x14ac:dyDescent="0.35">
      <c r="A14" s="11" t="s">
        <v>17</v>
      </c>
      <c r="B14" s="58">
        <v>19.97</v>
      </c>
      <c r="C14" s="59"/>
      <c r="D14" s="60"/>
    </row>
    <row r="15" spans="1:4" ht="19.5" thickBot="1" x14ac:dyDescent="0.35">
      <c r="A15" s="15" t="s">
        <v>16</v>
      </c>
      <c r="B15" s="61">
        <f>AVERAGE(B12:B14)</f>
        <v>19.39</v>
      </c>
      <c r="C15" s="62"/>
      <c r="D15" s="63"/>
    </row>
    <row r="16" spans="1:4" ht="15.75" thickBot="1" x14ac:dyDescent="0.3">
      <c r="A16" s="17"/>
      <c r="B16" s="64"/>
      <c r="C16" s="64"/>
      <c r="D16" s="65"/>
    </row>
    <row r="17" spans="1:4" ht="15.75" thickBot="1" x14ac:dyDescent="0.3">
      <c r="A17" s="16" t="s">
        <v>11</v>
      </c>
      <c r="B17" s="66" t="s">
        <v>13</v>
      </c>
      <c r="C17" s="67"/>
      <c r="D17" s="68"/>
    </row>
    <row r="18" spans="1:4" ht="18.75" x14ac:dyDescent="0.3">
      <c r="A18" s="12" t="s">
        <v>19</v>
      </c>
      <c r="B18" s="58">
        <v>13</v>
      </c>
      <c r="C18" s="59"/>
      <c r="D18" s="60"/>
    </row>
    <row r="19" spans="1:4" ht="18.75" x14ac:dyDescent="0.3">
      <c r="A19" s="11" t="s">
        <v>20</v>
      </c>
      <c r="B19" s="58">
        <v>13.99</v>
      </c>
      <c r="C19" s="59"/>
      <c r="D19" s="60"/>
    </row>
    <row r="20" spans="1:4" ht="19.5" thickBot="1" x14ac:dyDescent="0.35">
      <c r="A20" s="11" t="s">
        <v>21</v>
      </c>
      <c r="B20" s="58">
        <v>11.9</v>
      </c>
      <c r="C20" s="59"/>
      <c r="D20" s="60"/>
    </row>
    <row r="21" spans="1:4" ht="19.5" thickBot="1" x14ac:dyDescent="0.35">
      <c r="A21" s="13" t="s">
        <v>16</v>
      </c>
      <c r="B21" s="72">
        <f>AVERAGE(B18:B20)</f>
        <v>12.963333333333333</v>
      </c>
      <c r="C21" s="73"/>
      <c r="D21" s="74"/>
    </row>
    <row r="22" spans="1:4" ht="15.75" thickBot="1" x14ac:dyDescent="0.3">
      <c r="A22" s="17"/>
      <c r="B22" s="64"/>
      <c r="C22" s="64"/>
      <c r="D22" s="65"/>
    </row>
    <row r="23" spans="1:4" ht="15.75" thickBot="1" x14ac:dyDescent="0.3">
      <c r="A23" s="14" t="s">
        <v>12</v>
      </c>
      <c r="B23" s="75" t="s">
        <v>13</v>
      </c>
      <c r="C23" s="76"/>
      <c r="D23" s="77"/>
    </row>
    <row r="24" spans="1:4" ht="30.75" x14ac:dyDescent="0.3">
      <c r="A24" s="12" t="s">
        <v>22</v>
      </c>
      <c r="B24" s="58">
        <v>7.6</v>
      </c>
      <c r="C24" s="59"/>
      <c r="D24" s="60"/>
    </row>
    <row r="25" spans="1:4" ht="30.75" x14ac:dyDescent="0.3">
      <c r="A25" s="11" t="s">
        <v>23</v>
      </c>
      <c r="B25" s="58">
        <v>8</v>
      </c>
      <c r="C25" s="59"/>
      <c r="D25" s="60"/>
    </row>
    <row r="26" spans="1:4" ht="31.5" thickBot="1" x14ac:dyDescent="0.35">
      <c r="A26" s="11" t="s">
        <v>24</v>
      </c>
      <c r="B26" s="58">
        <v>8.57</v>
      </c>
      <c r="C26" s="59"/>
      <c r="D26" s="60"/>
    </row>
    <row r="27" spans="1:4" ht="19.5" thickBot="1" x14ac:dyDescent="0.35">
      <c r="A27" s="10" t="s">
        <v>16</v>
      </c>
      <c r="B27" s="69">
        <f>AVERAGE(B24:B26)</f>
        <v>8.0566666666666666</v>
      </c>
      <c r="C27" s="70"/>
      <c r="D27" s="71"/>
    </row>
  </sheetData>
  <mergeCells count="19">
    <mergeCell ref="B24:D24"/>
    <mergeCell ref="B25:D25"/>
    <mergeCell ref="B26:D26"/>
    <mergeCell ref="B27:D27"/>
    <mergeCell ref="B19:D19"/>
    <mergeCell ref="B20:D20"/>
    <mergeCell ref="B21:D21"/>
    <mergeCell ref="B22:D22"/>
    <mergeCell ref="B23:D23"/>
    <mergeCell ref="B14:D14"/>
    <mergeCell ref="B15:D15"/>
    <mergeCell ref="B16:D16"/>
    <mergeCell ref="B17:D17"/>
    <mergeCell ref="B18:D18"/>
    <mergeCell ref="A1:D1"/>
    <mergeCell ref="A10:D10"/>
    <mergeCell ref="B11:D11"/>
    <mergeCell ref="B12:D12"/>
    <mergeCell ref="B13:D13"/>
  </mergeCells>
  <hyperlinks>
    <hyperlink ref="A12" r:id="rId1" xr:uid="{BDA6AC5D-0BB1-4150-A48B-314E56DBAE5E}"/>
    <hyperlink ref="A13" r:id="rId2" xr:uid="{EEAD633B-863E-41E1-ABC0-07CD316DE6C1}"/>
    <hyperlink ref="A14" r:id="rId3" xr:uid="{B8565D1B-4D94-4C34-801E-47129249B15B}"/>
    <hyperlink ref="A18" r:id="rId4" xr:uid="{9A5D1B25-1B18-4807-8E9B-D6D5BF88BB30}"/>
    <hyperlink ref="A19" r:id="rId5" xr:uid="{37BDFEF7-3837-45A9-BCA3-43E81D9197A4}"/>
    <hyperlink ref="A20" r:id="rId6" xr:uid="{FED469AC-0385-4F1F-8623-34354F0D1BB7}"/>
    <hyperlink ref="A24" r:id="rId7" xr:uid="{E5690637-2148-484E-BA59-046FE1C0F873}"/>
    <hyperlink ref="A25" r:id="rId8" xr:uid="{801DEA99-48F7-4380-B225-1DF58CCF9D6D}"/>
    <hyperlink ref="A26" r:id="rId9" xr:uid="{1FC1C8E0-D738-4D70-9366-DE5FDD63D7C8}"/>
  </hyperlinks>
  <pageMargins left="0.7" right="0.7" top="0.78740157499999996" bottom="0.78740157499999996" header="0.3" footer="0.3"/>
  <pageSetup paperSize="9"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DEF53-5A19-4925-A325-77AB2F0E6D99}">
  <dimension ref="A1"/>
  <sheetViews>
    <sheetView topLeftCell="A10" workbookViewId="0">
      <selection activeCell="K23" sqref="K23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83DB-2C3C-4D55-B5CA-837D1457F631}">
  <dimension ref="B1:D23"/>
  <sheetViews>
    <sheetView tabSelected="1" zoomScaleNormal="100" workbookViewId="0">
      <selection activeCell="D22" sqref="D22:D23"/>
    </sheetView>
  </sheetViews>
  <sheetFormatPr baseColWidth="10" defaultRowHeight="15" x14ac:dyDescent="0.25"/>
  <cols>
    <col min="1" max="1" width="11.42578125" customWidth="1"/>
    <col min="2" max="2" width="37.42578125" bestFit="1" customWidth="1"/>
    <col min="3" max="3" width="10.28515625" bestFit="1" customWidth="1"/>
    <col min="4" max="4" width="13.85546875" bestFit="1" customWidth="1"/>
  </cols>
  <sheetData>
    <row r="1" spans="2:4" ht="68.25" customHeight="1" thickBot="1" x14ac:dyDescent="0.3"/>
    <row r="2" spans="2:4" ht="32.25" customHeight="1" thickBot="1" x14ac:dyDescent="0.3">
      <c r="B2" s="84" t="s">
        <v>26</v>
      </c>
      <c r="C2" s="85"/>
      <c r="D2" s="86"/>
    </row>
    <row r="3" spans="2:4" ht="19.5" thickBot="1" x14ac:dyDescent="0.35">
      <c r="B3" s="32" t="s">
        <v>36</v>
      </c>
      <c r="C3" s="32" t="s">
        <v>30</v>
      </c>
      <c r="D3" s="35" t="s">
        <v>2</v>
      </c>
    </row>
    <row r="4" spans="2:4" ht="18.75" x14ac:dyDescent="0.3">
      <c r="B4" s="19" t="s">
        <v>29</v>
      </c>
      <c r="C4" s="36" t="s">
        <v>31</v>
      </c>
      <c r="D4" s="44">
        <f>4.5*24</f>
        <v>108</v>
      </c>
    </row>
    <row r="5" spans="2:4" ht="18.75" x14ac:dyDescent="0.3">
      <c r="B5" s="22" t="s">
        <v>11</v>
      </c>
      <c r="C5" s="23">
        <v>1</v>
      </c>
      <c r="D5" s="45">
        <v>12.96</v>
      </c>
    </row>
    <row r="6" spans="2:4" ht="18.75" x14ac:dyDescent="0.3">
      <c r="B6" s="22" t="s">
        <v>32</v>
      </c>
      <c r="C6" s="37" t="str">
        <f>"10-15"</f>
        <v>10-15</v>
      </c>
      <c r="D6" s="45">
        <v>0.75</v>
      </c>
    </row>
    <row r="7" spans="2:4" ht="18.75" x14ac:dyDescent="0.3">
      <c r="B7" s="22" t="s">
        <v>34</v>
      </c>
      <c r="C7" s="38">
        <v>1</v>
      </c>
      <c r="D7" s="45">
        <v>8.5</v>
      </c>
    </row>
    <row r="8" spans="2:4" ht="19.5" thickBot="1" x14ac:dyDescent="0.35">
      <c r="B8" s="42" t="s">
        <v>33</v>
      </c>
      <c r="C8" s="33">
        <v>1</v>
      </c>
      <c r="D8" s="46">
        <v>5</v>
      </c>
    </row>
    <row r="9" spans="2:4" ht="19.5" thickBot="1" x14ac:dyDescent="0.35">
      <c r="B9" s="39" t="s">
        <v>27</v>
      </c>
      <c r="C9" s="40"/>
      <c r="D9" s="41">
        <f>SUM(D4:D8)</f>
        <v>135.21</v>
      </c>
    </row>
    <row r="10" spans="2:4" ht="19.5" thickBot="1" x14ac:dyDescent="0.35">
      <c r="B10" s="39" t="s">
        <v>28</v>
      </c>
      <c r="C10" s="40"/>
      <c r="D10" s="41">
        <f>D9*2</f>
        <v>270.42</v>
      </c>
    </row>
    <row r="11" spans="2:4" ht="15.75" thickBot="1" x14ac:dyDescent="0.3"/>
    <row r="12" spans="2:4" ht="32.25" customHeight="1" thickBot="1" x14ac:dyDescent="0.3">
      <c r="B12" s="84" t="s">
        <v>35</v>
      </c>
      <c r="C12" s="85"/>
      <c r="D12" s="86"/>
    </row>
    <row r="13" spans="2:4" ht="19.5" thickBot="1" x14ac:dyDescent="0.35">
      <c r="B13" s="32" t="s">
        <v>36</v>
      </c>
      <c r="C13" s="87" t="s">
        <v>2</v>
      </c>
      <c r="D13" s="88"/>
    </row>
    <row r="14" spans="2:4" ht="18.75" x14ac:dyDescent="0.3">
      <c r="B14" s="42" t="s">
        <v>40</v>
      </c>
      <c r="C14" s="89">
        <v>45</v>
      </c>
      <c r="D14" s="90"/>
    </row>
    <row r="15" spans="2:4" ht="19.5" thickBot="1" x14ac:dyDescent="0.35">
      <c r="B15" s="43" t="str">
        <f>"- 38% Schülerrabatt"</f>
        <v>- 38% Schülerrabatt</v>
      </c>
      <c r="C15" s="91">
        <f>(C14*0.38)*(-1)</f>
        <v>-17.100000000000001</v>
      </c>
      <c r="D15" s="92"/>
    </row>
    <row r="16" spans="2:4" ht="19.5" thickBot="1" x14ac:dyDescent="0.35">
      <c r="B16" s="34" t="s">
        <v>27</v>
      </c>
      <c r="C16" s="93">
        <f>SUM(C14:D15)</f>
        <v>27.9</v>
      </c>
      <c r="D16" s="94"/>
    </row>
    <row r="17" spans="2:4" ht="19.5" thickBot="1" x14ac:dyDescent="0.35">
      <c r="B17" s="26" t="s">
        <v>37</v>
      </c>
      <c r="C17" s="93">
        <f>C16*5</f>
        <v>139.5</v>
      </c>
      <c r="D17" s="94"/>
    </row>
    <row r="19" spans="2:4" ht="18.75" x14ac:dyDescent="0.3">
      <c r="B19" s="95" t="s">
        <v>39</v>
      </c>
      <c r="C19" s="95"/>
      <c r="D19" s="95"/>
    </row>
    <row r="20" spans="2:4" ht="18.75" x14ac:dyDescent="0.3">
      <c r="B20" s="96" t="s">
        <v>38</v>
      </c>
      <c r="C20" s="96"/>
      <c r="D20" s="96"/>
    </row>
    <row r="21" spans="2:4" ht="15" customHeight="1" thickBot="1" x14ac:dyDescent="0.3"/>
    <row r="22" spans="2:4" ht="15.75" customHeight="1" x14ac:dyDescent="0.25">
      <c r="B22" s="78" t="s">
        <v>41</v>
      </c>
      <c r="C22" s="79"/>
      <c r="D22" s="82">
        <f>SUM(D10,C17)</f>
        <v>409.92</v>
      </c>
    </row>
    <row r="23" spans="2:4" ht="15.75" thickBot="1" x14ac:dyDescent="0.3">
      <c r="B23" s="80"/>
      <c r="C23" s="81"/>
      <c r="D23" s="83"/>
    </row>
  </sheetData>
  <mergeCells count="11">
    <mergeCell ref="B2:D2"/>
    <mergeCell ref="B22:C23"/>
    <mergeCell ref="D22:D23"/>
    <mergeCell ref="B12:D12"/>
    <mergeCell ref="C13:D13"/>
    <mergeCell ref="C14:D14"/>
    <mergeCell ref="C15:D15"/>
    <mergeCell ref="C16:D16"/>
    <mergeCell ref="C17:D17"/>
    <mergeCell ref="B19:D19"/>
    <mergeCell ref="B20:D20"/>
  </mergeCells>
  <hyperlinks>
    <hyperlink ref="B20" r:id="rId1" xr:uid="{5C44A1FD-6BD2-4635-BDEA-1144E26EE6AC}"/>
  </hyperlinks>
  <pageMargins left="0.7" right="0.7" top="0.78740157499999996" bottom="0.78740157499999996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Diagramm - Punkteverteilung MCs</vt:lpstr>
      <vt:lpstr>Berechnung - Vergleich MCs</vt:lpstr>
      <vt:lpstr>Diagramm - Vergleich MCs</vt:lpstr>
      <vt:lpstr>Geschätzte Gesamtkosten - 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Schaar Nikita</dc:creator>
  <cp:lastModifiedBy>Schaar Nikita</cp:lastModifiedBy>
  <cp:lastPrinted>2026-02-19T13:24:51Z</cp:lastPrinted>
  <dcterms:created xsi:type="dcterms:W3CDTF">2026-02-17T15:09:36Z</dcterms:created>
  <dcterms:modified xsi:type="dcterms:W3CDTF">2026-02-20T21:06:21Z</dcterms:modified>
</cp:coreProperties>
</file>